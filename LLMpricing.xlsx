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bschoen/Dropbox/CC/NBA_Data/"/>
    </mc:Choice>
  </mc:AlternateContent>
  <xr:revisionPtr revIDLastSave="0" documentId="8_{0542D32B-9104-4F4C-B07E-D834A71918A6}" xr6:coauthVersionLast="47" xr6:coauthVersionMax="47" xr10:uidLastSave="{00000000-0000-0000-0000-000000000000}"/>
  <bookViews>
    <workbookView xWindow="4660" yWindow="-26480" windowWidth="47220" windowHeight="25440" xr2:uid="{B40754D9-A277-7B4D-B9A9-236B0267178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" l="1"/>
  <c r="B10" i="1"/>
  <c r="B9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" i="1"/>
  <c r="G22" i="1" a="1"/>
  <c r="G22" i="1" s="1"/>
  <c r="B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<sst xmlns="http://schemas.openxmlformats.org/spreadsheetml/2006/main" count="56" uniqueCount="55">
  <si>
    <t>Token Usage for LLM Game Analysis</t>
  </si>
  <si>
    <t>approx games per season</t>
  </si>
  <si>
    <t>estimated input tokens/game</t>
  </si>
  <si>
    <t>estimated output tokens/game</t>
  </si>
  <si>
    <t>Cost per season</t>
  </si>
  <si>
    <t>GPT-4o-mini</t>
  </si>
  <si>
    <t>Input</t>
  </si>
  <si>
    <t>Output</t>
  </si>
  <si>
    <t>Haiku 3.5</t>
  </si>
  <si>
    <t>Model Name</t>
  </si>
  <si>
    <t>Notes</t>
  </si>
  <si>
    <t>GPT-5.2 (Chat)</t>
  </si>
  <si>
    <t>Current state-of-the-art for general reasoning.</t>
  </si>
  <si>
    <t>Claude Opus 4.5</t>
  </si>
  <si>
    <t>Leading model for complex coding and agentic workflows.</t>
  </si>
  <si>
    <t>Gemini 3 Pro</t>
  </si>
  <si>
    <t>Massive context window (1M+); strong multimodal support.</t>
  </si>
  <si>
    <t>Llama 4 Behemoth</t>
  </si>
  <si>
    <t>Highest-performing open-weight model; ultra-competitive.</t>
  </si>
  <si>
    <t>Claude Sonnet 4.5</t>
  </si>
  <si>
    <t>Excellent balance of nuance and instruction following.</t>
  </si>
  <si>
    <t>Gemini 3 Flash</t>
  </si>
  <si>
    <t>Optimized for high-throughput, real-time tasks.</t>
  </si>
  <si>
    <t>DeepSeek V3.2</t>
  </si>
  <si>
    <t>Extremely aggressive pricing with high reasoning scores.</t>
  </si>
  <si>
    <t>Grok 4.1 (Think)</t>
  </si>
  <si>
    <t>Extended reasoning mode; includes real-time web data.</t>
  </si>
  <si>
    <t>Versatile "Goldilocks" model for most apps.</t>
  </si>
  <si>
    <t>Claude 3.5 Haiku</t>
  </si>
  <si>
    <t>High-speed coding and data extraction.</t>
  </si>
  <si>
    <t>Gemini 2.5 Flash-Lite</t>
  </si>
  <si>
    <t>Real-time chat &amp; high-frequency UI updates.</t>
  </si>
  <si>
    <t>Gemini 1.5 Flash-8B</t>
  </si>
  <si>
    <t>Massive volume classification &amp; labeling.</t>
  </si>
  <si>
    <t>DeepSeek V3.2 (Chat)</t>
  </si>
  <si>
    <t>Most "intelligence per dollar" in the market.</t>
  </si>
  <si>
    <t>Llama 4 Scout (8B)</t>
  </si>
  <si>
    <t>Fast, local-first performance with open weights.</t>
  </si>
  <si>
    <t>Nova Micro (Amazon)</t>
  </si>
  <si>
    <t>Latency-critical AWS native applications.</t>
  </si>
  <si>
    <t>Gemma 3 (27B)</t>
  </si>
  <si>
    <t>High-quality open weights for research.</t>
  </si>
  <si>
    <t>Mistral Small 3.2</t>
  </si>
  <si>
    <t>Multilingual tasks and European data sovereignty.</t>
  </si>
  <si>
    <t>Input Cost</t>
  </si>
  <si>
    <t>Output Cost</t>
  </si>
  <si>
    <t>Speed</t>
  </si>
  <si>
    <t>Quality</t>
  </si>
  <si>
    <t>GPT-5 mini</t>
  </si>
  <si>
    <t>Agentic logic, reliable coding.</t>
  </si>
  <si>
    <t>GPT-5 nano</t>
  </si>
  <si>
    <t>High-volume classification.</t>
  </si>
  <si>
    <t>Pred</t>
  </si>
  <si>
    <t>Sonnet 4.5</t>
  </si>
  <si>
    <t>Opus 4.5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</si>
</sst>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166" formatCode="&quot;$&quot;#,##0.00"/>
    <numFmt numFmtId="171" formatCode="0.0"/>
    <numFmt numFmtId="172" formatCode="_(&quot;$&quot;* #,##0.0_);_(&quot;$&quot;* \(#,##0.0\);_(&quot;$&quot;* &quot;-&quot;??_);_(@_)"/>
  </numFmts>
  <fonts count="3">
    <font>
      <sz val="14"/>
      <color theme="1"/>
      <name val="AndaleMono"/>
      <family val="2"/>
    </font>
    <font>
      <sz val="14"/>
      <color theme="1"/>
      <name val="AndaleMono"/>
      <family val="2"/>
    </font>
    <font>
      <b/>
      <sz val="14"/>
      <color theme="1"/>
      <name val="AndaleMon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66" fontId="0" fillId="0" borderId="0" xfId="1" applyNumberFormat="1" applyFont="1"/>
    <xf numFmtId="0" fontId="2" fillId="0" borderId="0" xfId="0" applyFont="1"/>
    <xf numFmtId="8" fontId="0" fillId="0" borderId="0" xfId="0" applyNumberFormat="1"/>
    <xf numFmtId="171" fontId="0" fillId="0" borderId="0" xfId="0" applyNumberFormat="1"/>
    <xf numFmtId="172" fontId="0" fillId="0" borderId="0" xfId="1" applyNumberFormat="1" applyFont="1"/>
    <xf numFmtId="166" fontId="0" fillId="2" borderId="0" xfId="1" applyNumberFormat="1" applyFon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8AB98-18EA-EF40-9FCC-51B020DC18E1}">
  <dimension ref="A1:L22"/>
  <sheetViews>
    <sheetView tabSelected="1" zoomScale="150" zoomScaleNormal="150" workbookViewId="0">
      <selection activeCell="A11" sqref="A11"/>
    </sheetView>
  </sheetViews>
  <sheetFormatPr baseColWidth="10" defaultRowHeight="18"/>
  <cols>
    <col min="1" max="1" width="31.375" customWidth="1"/>
    <col min="2" max="2" width="20.375" customWidth="1"/>
    <col min="6" max="6" width="23.875" bestFit="1" customWidth="1"/>
    <col min="7" max="7" width="11.75" bestFit="1" customWidth="1"/>
    <col min="8" max="8" width="12.875" bestFit="1" customWidth="1"/>
    <col min="9" max="9" width="6.375" bestFit="1" customWidth="1"/>
    <col min="10" max="10" width="8.5" bestFit="1" customWidth="1"/>
    <col min="11" max="11" width="8.5" customWidth="1"/>
    <col min="12" max="12" width="62.375" bestFit="1" customWidth="1"/>
  </cols>
  <sheetData>
    <row r="1" spans="1:12">
      <c r="A1" t="s">
        <v>0</v>
      </c>
      <c r="F1" s="4" t="s">
        <v>9</v>
      </c>
      <c r="G1" s="4" t="s">
        <v>44</v>
      </c>
      <c r="H1" s="4" t="s">
        <v>45</v>
      </c>
      <c r="I1" s="4" t="s">
        <v>46</v>
      </c>
      <c r="J1" s="4" t="s">
        <v>47</v>
      </c>
      <c r="K1" s="4" t="s">
        <v>52</v>
      </c>
      <c r="L1" s="4" t="s">
        <v>10</v>
      </c>
    </row>
    <row r="2" spans="1:12">
      <c r="F2" t="s">
        <v>13</v>
      </c>
      <c r="G2" s="5">
        <v>5</v>
      </c>
      <c r="H2" s="5">
        <v>25</v>
      </c>
      <c r="I2" s="6">
        <v>5</v>
      </c>
      <c r="J2" s="6">
        <v>9.9</v>
      </c>
      <c r="K2" s="7">
        <f>+J2*G$22+H$22</f>
        <v>2.2026789403329676</v>
      </c>
      <c r="L2" t="s">
        <v>14</v>
      </c>
    </row>
    <row r="3" spans="1:12">
      <c r="A3" t="s">
        <v>1</v>
      </c>
      <c r="B3">
        <v>1315</v>
      </c>
      <c r="F3" t="s">
        <v>19</v>
      </c>
      <c r="G3" s="5">
        <v>3</v>
      </c>
      <c r="H3" s="5">
        <v>15</v>
      </c>
      <c r="I3" s="6">
        <v>7</v>
      </c>
      <c r="J3" s="6">
        <v>9.1999999999999993</v>
      </c>
      <c r="K3" s="7">
        <f t="shared" ref="K3:K20" si="0">+J3*G$22+H$22</f>
        <v>1.5183628022846012</v>
      </c>
      <c r="L3" t="s">
        <v>20</v>
      </c>
    </row>
    <row r="4" spans="1:12">
      <c r="A4" t="s">
        <v>2</v>
      </c>
      <c r="B4">
        <v>700</v>
      </c>
      <c r="F4" t="s">
        <v>25</v>
      </c>
      <c r="G4" s="5">
        <v>3</v>
      </c>
      <c r="H4" s="5">
        <v>15</v>
      </c>
      <c r="I4" s="6">
        <v>4</v>
      </c>
      <c r="J4" s="6">
        <v>9.6999999999999993</v>
      </c>
      <c r="K4" s="7">
        <f t="shared" si="0"/>
        <v>2.0071600437477191</v>
      </c>
      <c r="L4" t="s">
        <v>26</v>
      </c>
    </row>
    <row r="5" spans="1:12">
      <c r="A5" t="s">
        <v>3</v>
      </c>
      <c r="B5">
        <v>160</v>
      </c>
      <c r="F5" t="s">
        <v>15</v>
      </c>
      <c r="G5" s="5">
        <v>2</v>
      </c>
      <c r="H5" s="5">
        <v>12</v>
      </c>
      <c r="I5" s="6">
        <v>6</v>
      </c>
      <c r="J5" s="6">
        <v>9.8000000000000007</v>
      </c>
      <c r="K5" s="7">
        <f t="shared" si="0"/>
        <v>2.1049194920403451</v>
      </c>
      <c r="L5" t="s">
        <v>16</v>
      </c>
    </row>
    <row r="6" spans="1:12">
      <c r="F6" t="s">
        <v>11</v>
      </c>
      <c r="G6" s="5">
        <v>1.25</v>
      </c>
      <c r="H6" s="5">
        <v>10</v>
      </c>
      <c r="I6" s="6">
        <v>7</v>
      </c>
      <c r="J6" s="6">
        <v>10</v>
      </c>
      <c r="K6" s="7">
        <f t="shared" si="0"/>
        <v>2.3004383886255901</v>
      </c>
      <c r="L6" t="s">
        <v>12</v>
      </c>
    </row>
    <row r="7" spans="1:12">
      <c r="B7" s="1" t="s">
        <v>4</v>
      </c>
      <c r="C7" s="1" t="s">
        <v>6</v>
      </c>
      <c r="D7" s="1" t="s">
        <v>7</v>
      </c>
      <c r="F7" t="s">
        <v>17</v>
      </c>
      <c r="G7" s="5">
        <v>0.9</v>
      </c>
      <c r="H7" s="5">
        <v>0.9</v>
      </c>
      <c r="I7" s="6">
        <v>6</v>
      </c>
      <c r="J7" s="6">
        <v>9.5</v>
      </c>
      <c r="K7" s="7">
        <f t="shared" si="0"/>
        <v>1.8116411471624723</v>
      </c>
      <c r="L7" t="s">
        <v>18</v>
      </c>
    </row>
    <row r="8" spans="1:12">
      <c r="A8" s="2" t="s">
        <v>5</v>
      </c>
      <c r="B8" s="3">
        <f>+(B$4/1000000*C8+B$5/1000000*D8)*B$3</f>
        <v>0.26431500000000002</v>
      </c>
      <c r="C8" s="8">
        <v>0.15</v>
      </c>
      <c r="D8" s="8">
        <v>0.6</v>
      </c>
      <c r="F8" t="s">
        <v>28</v>
      </c>
      <c r="G8" s="5">
        <v>0.8</v>
      </c>
      <c r="H8" s="5">
        <v>4</v>
      </c>
      <c r="I8" s="6">
        <v>9</v>
      </c>
      <c r="J8" s="6">
        <v>8.8000000000000007</v>
      </c>
      <c r="K8" s="7">
        <f t="shared" si="0"/>
        <v>1.1273250091141076</v>
      </c>
      <c r="L8" t="s">
        <v>29</v>
      </c>
    </row>
    <row r="9" spans="1:12">
      <c r="A9" s="2" t="s">
        <v>8</v>
      </c>
      <c r="B9" s="3">
        <f>+(B$4/1000000*C9+B$5/1000000*D9)*B$3</f>
        <v>1.5780000000000001</v>
      </c>
      <c r="C9" s="8">
        <v>0.8</v>
      </c>
      <c r="D9" s="8">
        <v>4</v>
      </c>
      <c r="F9" t="s">
        <v>48</v>
      </c>
      <c r="G9" s="5">
        <v>0.25</v>
      </c>
      <c r="H9" s="5">
        <v>2</v>
      </c>
      <c r="I9" s="6">
        <v>9</v>
      </c>
      <c r="J9" s="6">
        <v>8.8000000000000007</v>
      </c>
      <c r="K9" s="7">
        <f t="shared" si="0"/>
        <v>1.1273250091141076</v>
      </c>
      <c r="L9" t="s">
        <v>49</v>
      </c>
    </row>
    <row r="10" spans="1:12">
      <c r="A10" s="2" t="s">
        <v>53</v>
      </c>
      <c r="B10" s="3">
        <f>+(B$4/1000000*C10+B$5/1000000*D10)*B$3</f>
        <v>4.3658000000000001</v>
      </c>
      <c r="C10" s="8">
        <v>2</v>
      </c>
      <c r="D10" s="8">
        <v>12</v>
      </c>
      <c r="F10" t="s">
        <v>5</v>
      </c>
      <c r="G10" s="5">
        <v>0.15</v>
      </c>
      <c r="H10" s="5">
        <v>0.6</v>
      </c>
      <c r="I10" s="6">
        <v>9</v>
      </c>
      <c r="J10" s="6">
        <v>8.1999999999999993</v>
      </c>
      <c r="K10" s="7">
        <f t="shared" si="0"/>
        <v>0.54076831935836545</v>
      </c>
      <c r="L10" t="s">
        <v>27</v>
      </c>
    </row>
    <row r="11" spans="1:12">
      <c r="A11" s="2" t="s">
        <v>54</v>
      </c>
      <c r="B11" s="3">
        <f>+(B$4/1000000*C11+B$5/1000000*D11)*B$3</f>
        <v>9.8624999999999989</v>
      </c>
      <c r="C11" s="8">
        <v>5</v>
      </c>
      <c r="D11" s="8">
        <v>25</v>
      </c>
      <c r="F11" t="s">
        <v>21</v>
      </c>
      <c r="G11" s="5">
        <v>0.1</v>
      </c>
      <c r="H11" s="5">
        <v>0.4</v>
      </c>
      <c r="I11" s="6">
        <v>10</v>
      </c>
      <c r="J11" s="6">
        <v>8</v>
      </c>
      <c r="K11" s="7">
        <f t="shared" si="0"/>
        <v>0.34524942277311865</v>
      </c>
      <c r="L11" t="s">
        <v>22</v>
      </c>
    </row>
    <row r="12" spans="1:12">
      <c r="A12" s="2"/>
      <c r="F12" t="s">
        <v>30</v>
      </c>
      <c r="G12" s="5">
        <v>0.1</v>
      </c>
      <c r="H12" s="5">
        <v>0.4</v>
      </c>
      <c r="I12" s="6">
        <v>10</v>
      </c>
      <c r="J12" s="6">
        <v>7.8</v>
      </c>
      <c r="K12" s="7">
        <f t="shared" si="0"/>
        <v>0.14973052618787097</v>
      </c>
      <c r="L12" t="s">
        <v>31</v>
      </c>
    </row>
    <row r="13" spans="1:12">
      <c r="A13" s="2"/>
      <c r="F13" t="s">
        <v>36</v>
      </c>
      <c r="G13" s="5">
        <v>0.08</v>
      </c>
      <c r="H13" s="5">
        <v>0.08</v>
      </c>
      <c r="I13" s="6">
        <v>10</v>
      </c>
      <c r="J13" s="6">
        <v>7.9</v>
      </c>
      <c r="K13" s="7">
        <f t="shared" si="0"/>
        <v>0.24748997448049526</v>
      </c>
      <c r="L13" t="s">
        <v>37</v>
      </c>
    </row>
    <row r="14" spans="1:12">
      <c r="A14" s="2"/>
      <c r="F14" t="s">
        <v>23</v>
      </c>
      <c r="G14" s="5">
        <v>7.0000000000000007E-2</v>
      </c>
      <c r="H14" s="5">
        <v>0.28000000000000003</v>
      </c>
      <c r="I14" s="6">
        <v>8</v>
      </c>
      <c r="J14" s="6">
        <v>8.8000000000000007</v>
      </c>
      <c r="K14" s="7">
        <f t="shared" si="0"/>
        <v>1.1273250091141076</v>
      </c>
      <c r="L14" t="s">
        <v>24</v>
      </c>
    </row>
    <row r="15" spans="1:12">
      <c r="A15" s="2"/>
      <c r="F15" t="s">
        <v>34</v>
      </c>
      <c r="G15" s="5">
        <v>7.0000000000000007E-2</v>
      </c>
      <c r="H15" s="5">
        <v>0.28000000000000003</v>
      </c>
      <c r="I15" s="6">
        <v>8</v>
      </c>
      <c r="J15" s="6">
        <v>8.8000000000000007</v>
      </c>
      <c r="K15" s="7">
        <f t="shared" si="0"/>
        <v>1.1273250091141076</v>
      </c>
      <c r="L15" t="s">
        <v>35</v>
      </c>
    </row>
    <row r="16" spans="1:12">
      <c r="A16" s="2"/>
      <c r="F16" t="s">
        <v>40</v>
      </c>
      <c r="G16" s="5">
        <v>7.0000000000000007E-2</v>
      </c>
      <c r="H16" s="5">
        <v>7.0000000000000007E-2</v>
      </c>
      <c r="I16" s="6">
        <v>7</v>
      </c>
      <c r="J16" s="6">
        <v>8.1</v>
      </c>
      <c r="K16" s="7">
        <f t="shared" si="0"/>
        <v>0.44300887106574205</v>
      </c>
      <c r="L16" t="s">
        <v>41</v>
      </c>
    </row>
    <row r="17" spans="1:12">
      <c r="A17" s="2"/>
      <c r="F17" t="s">
        <v>42</v>
      </c>
      <c r="G17" s="5">
        <v>0.06</v>
      </c>
      <c r="H17" s="5">
        <v>0.18</v>
      </c>
      <c r="I17" s="6">
        <v>9</v>
      </c>
      <c r="J17" s="6">
        <v>8</v>
      </c>
      <c r="K17" s="7">
        <f t="shared" si="0"/>
        <v>0.34524942277311865</v>
      </c>
      <c r="L17" t="s">
        <v>43</v>
      </c>
    </row>
    <row r="18" spans="1:12">
      <c r="A18" s="2"/>
      <c r="F18" t="s">
        <v>50</v>
      </c>
      <c r="G18" s="5">
        <v>0.05</v>
      </c>
      <c r="H18" s="5">
        <v>0.4</v>
      </c>
      <c r="I18" s="6">
        <v>10</v>
      </c>
      <c r="J18" s="6">
        <v>7.9</v>
      </c>
      <c r="K18" s="7">
        <f t="shared" si="0"/>
        <v>0.24748997448049526</v>
      </c>
      <c r="L18" t="s">
        <v>51</v>
      </c>
    </row>
    <row r="19" spans="1:12">
      <c r="A19" s="2"/>
      <c r="F19" t="s">
        <v>38</v>
      </c>
      <c r="G19" s="5">
        <v>0.04</v>
      </c>
      <c r="H19" s="5">
        <v>0.14000000000000001</v>
      </c>
      <c r="I19" s="6">
        <v>10</v>
      </c>
      <c r="J19" s="6">
        <v>7</v>
      </c>
      <c r="K19" s="7">
        <f t="shared" si="0"/>
        <v>-0.63234506015311709</v>
      </c>
      <c r="L19" t="s">
        <v>39</v>
      </c>
    </row>
    <row r="20" spans="1:12">
      <c r="A20" s="2"/>
      <c r="F20" t="s">
        <v>32</v>
      </c>
      <c r="G20" s="5">
        <v>0.03</v>
      </c>
      <c r="H20" s="5">
        <v>0.15</v>
      </c>
      <c r="I20" s="6">
        <v>10</v>
      </c>
      <c r="J20" s="6">
        <v>6.5</v>
      </c>
      <c r="K20" s="7">
        <f t="shared" si="0"/>
        <v>-1.1211423016162358</v>
      </c>
      <c r="L20" t="s">
        <v>33</v>
      </c>
    </row>
    <row r="21" spans="1:12">
      <c r="A21" s="2"/>
    </row>
    <row r="22" spans="1:12">
      <c r="G22" cm="1">
        <f t="array" ref="G22:H22">+LINEST(G2:G20,J2:J20)</f>
        <v>0.97759448292623619</v>
      </c>
      <c r="H22">
        <v>-7.4755064406367708</v>
      </c>
    </row>
  </sheetData>
  <sortState xmlns:xlrd2="http://schemas.microsoft.com/office/spreadsheetml/2017/richdata2" ref="F2:L20">
    <sortCondition descending="1" ref="G2:G2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Schoen</dc:creator>
  <cp:lastModifiedBy>Rob Schoen</cp:lastModifiedBy>
  <dcterms:created xsi:type="dcterms:W3CDTF">2026-02-01T13:59:56Z</dcterms:created>
  <dcterms:modified xsi:type="dcterms:W3CDTF">2026-02-01T15:15:50Z</dcterms:modified>
</cp:coreProperties>
</file>